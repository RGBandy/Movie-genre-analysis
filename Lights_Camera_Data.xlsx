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d11db40c82c5c4/Documents/"/>
    </mc:Choice>
  </mc:AlternateContent>
  <xr:revisionPtr revIDLastSave="0" documentId="8_{856079EE-652A-445B-8DA7-EA7FC088A095}" xr6:coauthVersionLast="47" xr6:coauthVersionMax="47" xr10:uidLastSave="{00000000-0000-0000-0000-000000000000}"/>
  <bookViews>
    <workbookView xWindow="-120" yWindow="-120" windowWidth="23280" windowHeight="14880" xr2:uid="{7185EBDE-74DC-41B8-9157-0CD6B6179082}"/>
  </bookViews>
  <sheets>
    <sheet name="tbmd_movies" sheetId="2" r:id="rId1"/>
    <sheet name="Count in Datasets" sheetId="3" r:id="rId2"/>
    <sheet name="Ratings" sheetId="4" r:id="rId3"/>
    <sheet name="Popularity" sheetId="5" r:id="rId4"/>
    <sheet name="Analysis" sheetId="9" r:id="rId5"/>
  </sheets>
  <definedNames>
    <definedName name="ExternalData_1" localSheetId="0" hidden="1">tbmd_movies!$A$1:$G$48</definedName>
  </definedNames>
  <calcPr calcId="191029"/>
  <pivotCaches>
    <pivotCache cacheId="3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38C2F-A8F7-4EFB-B87B-96C3C300F948}" keepAlive="1" name="Query - tbmd_movies" description="Connection to the 'tbmd_movies' query in the workbook." type="5" refreshedVersion="8" background="1" saveData="1">
    <dbPr connection="Provider=Microsoft.Mashup.OleDb.1;Data Source=$Workbook$;Location=tbmd_movies;Extended Properties=&quot;&quot;" command="SELECT * FROM [tbmd_movies]"/>
  </connection>
</connections>
</file>

<file path=xl/sharedStrings.xml><?xml version="1.0" encoding="utf-8"?>
<sst xmlns="http://schemas.openxmlformats.org/spreadsheetml/2006/main" count="211" uniqueCount="68">
  <si>
    <t>genre_ids</t>
  </si>
  <si>
    <t>title</t>
  </si>
  <si>
    <t>year</t>
  </si>
  <si>
    <t>genre</t>
  </si>
  <si>
    <t>vote_average</t>
  </si>
  <si>
    <t>vote_count</t>
  </si>
  <si>
    <t>popularity</t>
  </si>
  <si>
    <t>[878, 28, 12]</t>
  </si>
  <si>
    <t>Spider-Man: Brand New Day</t>
  </si>
  <si>
    <t>Science Fiction</t>
  </si>
  <si>
    <t>Action</t>
  </si>
  <si>
    <t>Adventure</t>
  </si>
  <si>
    <t>[35, 12, 10751]</t>
  </si>
  <si>
    <t>Coyote vs. Acme</t>
  </si>
  <si>
    <t>Comedy</t>
  </si>
  <si>
    <t>Family</t>
  </si>
  <si>
    <t>[28, 27, 878]</t>
  </si>
  <si>
    <t>Colony</t>
  </si>
  <si>
    <t>Horror</t>
  </si>
  <si>
    <t>[12, 28, 14]</t>
  </si>
  <si>
    <t>The Odyssey</t>
  </si>
  <si>
    <t>Fantasy</t>
  </si>
  <si>
    <t>[878, 9648, 53]</t>
  </si>
  <si>
    <t>The End of Oak Street</t>
  </si>
  <si>
    <t>Mystery</t>
  </si>
  <si>
    <t>Thriller</t>
  </si>
  <si>
    <t>[28, 53]</t>
  </si>
  <si>
    <t>The Mongoose</t>
  </si>
  <si>
    <t>Mutiny</t>
  </si>
  <si>
    <t>[10751, 14, 35, 12]</t>
  </si>
  <si>
    <t>Moana</t>
  </si>
  <si>
    <t>[10749, 53]</t>
  </si>
  <si>
    <t>Drawn Together</t>
  </si>
  <si>
    <t>Romance</t>
  </si>
  <si>
    <t>[10749]</t>
  </si>
  <si>
    <t>Shape of My Heart</t>
  </si>
  <si>
    <t>[27, 878]</t>
  </si>
  <si>
    <t>Resident Evil</t>
  </si>
  <si>
    <t>[28, 35]</t>
  </si>
  <si>
    <t>Mayday</t>
  </si>
  <si>
    <t>[53, 28]</t>
  </si>
  <si>
    <t>The Runner</t>
  </si>
  <si>
    <t>[27, 35, 53]</t>
  </si>
  <si>
    <t>Ghost in the Cell</t>
  </si>
  <si>
    <t>Zip Wire</t>
  </si>
  <si>
    <t>[18, 10749, 35]</t>
  </si>
  <si>
    <t>Vishwanath &amp; Sons</t>
  </si>
  <si>
    <t>Drama</t>
  </si>
  <si>
    <t>[16, 10751, 35, 12]</t>
  </si>
  <si>
    <t>Toy Story 5</t>
  </si>
  <si>
    <t>Animation</t>
  </si>
  <si>
    <t>[10770, 10751, 28]</t>
  </si>
  <si>
    <t>Clash of the Thundermans</t>
  </si>
  <si>
    <t>TV Movie</t>
  </si>
  <si>
    <t>Row Labels</t>
  </si>
  <si>
    <t>Grand Total</t>
  </si>
  <si>
    <t>(All)</t>
  </si>
  <si>
    <t>Count of genre_ids</t>
  </si>
  <si>
    <t>Average of vote_average</t>
  </si>
  <si>
    <t>Average of popularity</t>
  </si>
  <si>
    <t>Analysis</t>
  </si>
  <si>
    <t>1. The Genre that appeared the most is Action</t>
  </si>
  <si>
    <t>2. Despite Action appearing most frequent, animatied movies have the best raitings</t>
  </si>
  <si>
    <t>3. Top 3 movie genres based on popularity is:</t>
  </si>
  <si>
    <t>v</t>
  </si>
  <si>
    <t>Based upon analysis it can be determined that movies containing science fiction, mystery, and adventure has the potential to bring in the most reveneue</t>
  </si>
  <si>
    <t>Though, the action genre appears the most, more profit can be made by investing in the production of the more popular categories for the 2026 year</t>
  </si>
  <si>
    <t>Considering animation has the best raitings, an animated movie that contains the elements of science fiction, mystery, and adventure will most likely yeild the most profit/postive feedback from the 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</si>
</sst>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[Lights^JCamera^JData.xlsx]Count in Datasets!PivotTable1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</a:t>
            </a:r>
            <a:r>
              <a:rPr lang="en-US" baseline="0"/>
              <a:t> of Movies Created</a:t>
            </a:r>
          </a:p>
          <a:p>
            <a:pPr>
              <a:defRPr/>
            </a:pPr>
            <a:r>
              <a:rPr lang="en-US" baseline="0"/>
              <a:t>by Genre</a:t>
            </a:r>
            <a:endParaRPr lang="en-US"/>
          </a:p>
        </c:rich>
      </c:tx>
      <c:layout>
        <c:manualLayout>
          <c:xMode val="edge"/>
          <c:yMode val="edge"/>
          <c:x val="0.2598246032643049"/>
          <c:y val="8.786592693266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05132133602918"/>
          <c:y val="0.24439737247987484"/>
          <c:w val="0.82957816875761348"/>
          <c:h val="0.4398415006748526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'Count in Datasets'!$B$4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'Count in Datasets'!$A$5:$A$18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Drama</c:v>
                </c:pt>
                <c:pt idx="5">
                  <c:v>Family</c:v>
                </c:pt>
                <c:pt idx="6">
                  <c:v>Fantasy</c:v>
                </c:pt>
                <c:pt idx="7">
                  <c:v>Horror</c:v>
                </c:pt>
                <c:pt idx="8">
                  <c:v>Mystery</c:v>
                </c:pt>
                <c:pt idx="9">
                  <c:v>Romance</c:v>
                </c:pt>
                <c:pt idx="10">
                  <c:v>Science Fiction</c:v>
                </c:pt>
                <c:pt idx="11">
                  <c:v>Thriller</c:v>
                </c:pt>
                <c:pt idx="12">
                  <c:v>TV Movie</c:v>
                </c:pt>
              </c:strCache>
            </c:strRef>
          </c:cat>
          <c:val>
            <c:numRef>
              <c:f>'Count in Datasets'!$B$5:$B$18</c:f>
              <c:numCache>
                <c:formatCode>General</c:formatCode>
                <c:ptCount val="13"/>
                <c:pt idx="0">
                  <c:v>9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2-4050-B564-FDE3BA0B7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64169823"/>
        <c:axId val="2089686639"/>
        <c:axId val="0"/>
      </c:bar3DChart>
      <c:catAx>
        <c:axId val="2064169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86639"/>
        <c:crosses val="autoZero"/>
        <c:auto val="1"/>
        <c:lblAlgn val="ctr"/>
        <c:lblOffset val="100"/>
        <c:noMultiLvlLbl val="0"/>
      </c:catAx>
      <c:valAx>
        <c:axId val="20896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0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6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[Lights^JCamera^JData.xlsx]Ratings!PivotTable2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Raitings per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Ratings!$B$3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Ratings!$A$4:$A$17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Drama</c:v>
                </c:pt>
                <c:pt idx="5">
                  <c:v>Family</c:v>
                </c:pt>
                <c:pt idx="6">
                  <c:v>Fantasy</c:v>
                </c:pt>
                <c:pt idx="7">
                  <c:v>Horror</c:v>
                </c:pt>
                <c:pt idx="8">
                  <c:v>Mystery</c:v>
                </c:pt>
                <c:pt idx="9">
                  <c:v>Romance</c:v>
                </c:pt>
                <c:pt idx="10">
                  <c:v>Science Fiction</c:v>
                </c:pt>
                <c:pt idx="11">
                  <c:v>Thriller</c:v>
                </c:pt>
                <c:pt idx="12">
                  <c:v>TV Movie</c:v>
                </c:pt>
              </c:strCache>
            </c:strRef>
          </c:cat>
          <c:val>
            <c:numRef>
              <c:f>Ratings!$B$4:$B$17</c:f>
              <c:numCache>
                <c:formatCode>General</c:formatCode>
                <c:ptCount val="13"/>
                <c:pt idx="0">
                  <c:v>6.6138888888888898</c:v>
                </c:pt>
                <c:pt idx="1">
                  <c:v>7.8102</c:v>
                </c:pt>
                <c:pt idx="2">
                  <c:v>8.3539999999999992</c:v>
                </c:pt>
                <c:pt idx="3">
                  <c:v>7.6009999999999991</c:v>
                </c:pt>
                <c:pt idx="4">
                  <c:v>7.2169999999999996</c:v>
                </c:pt>
                <c:pt idx="5">
                  <c:v>7.5124999999999993</c:v>
                </c:pt>
                <c:pt idx="6">
                  <c:v>7.6555</c:v>
                </c:pt>
                <c:pt idx="7">
                  <c:v>7.7989999999999995</c:v>
                </c:pt>
                <c:pt idx="8">
                  <c:v>6.8789999999999996</c:v>
                </c:pt>
                <c:pt idx="9">
                  <c:v>6.5270000000000001</c:v>
                </c:pt>
                <c:pt idx="10">
                  <c:v>7.7272499999999997</c:v>
                </c:pt>
                <c:pt idx="11">
                  <c:v>5.9305714285714286</c:v>
                </c:pt>
                <c:pt idx="12">
                  <c:v>6.8570000000000002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1-4E66-A2DE-1D03F736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64104863"/>
        <c:axId val="2089689039"/>
        <c:axId val="0"/>
      </c:bar3DChart>
      <c:catAx>
        <c:axId val="206410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89039"/>
        <c:crosses val="autoZero"/>
        <c:auto val="1"/>
        <c:lblAlgn val="ctr"/>
        <c:lblOffset val="100"/>
        <c:noMultiLvlLbl val="0"/>
      </c:catAx>
      <c:valAx>
        <c:axId val="20896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[Lights^JCamera^JData.xlsx]Popularity!PivotTable3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popularity by genre</a:t>
            </a:r>
            <a:endParaRPr lang="en-US"/>
          </a:p>
        </c:rich>
      </c:tx>
      <c:layout>
        <c:manualLayout>
          <c:xMode val="edge"/>
          <c:yMode val="edge"/>
          <c:x val="0.29648289196514499"/>
          <c:y val="0.10785606914056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868126214463238"/>
          <c:y val="0.18911642273632021"/>
          <c:w val="0.54261180296683542"/>
          <c:h val="0.6647856846434606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Popularity!$B$3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Popularity!$A$4:$A$17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Drama</c:v>
                </c:pt>
                <c:pt idx="5">
                  <c:v>Family</c:v>
                </c:pt>
                <c:pt idx="6">
                  <c:v>Fantasy</c:v>
                </c:pt>
                <c:pt idx="7">
                  <c:v>Horror</c:v>
                </c:pt>
                <c:pt idx="8">
                  <c:v>Mystery</c:v>
                </c:pt>
                <c:pt idx="9">
                  <c:v>Romance</c:v>
                </c:pt>
                <c:pt idx="10">
                  <c:v>Science Fiction</c:v>
                </c:pt>
                <c:pt idx="11">
                  <c:v>Thriller</c:v>
                </c:pt>
                <c:pt idx="12">
                  <c:v>TV Movie</c:v>
                </c:pt>
              </c:strCache>
            </c:strRef>
          </c:cat>
          <c:val>
            <c:numRef>
              <c:f>Popularity!$B$4:$B$17</c:f>
              <c:numCache>
                <c:formatCode>General</c:formatCode>
                <c:ptCount val="13"/>
                <c:pt idx="0">
                  <c:v>298.9596777777777</c:v>
                </c:pt>
                <c:pt idx="1">
                  <c:v>403.17732000000001</c:v>
                </c:pt>
                <c:pt idx="2">
                  <c:v>146.50640000000001</c:v>
                </c:pt>
                <c:pt idx="3">
                  <c:v>233.2001333333333</c:v>
                </c:pt>
                <c:pt idx="4">
                  <c:v>155.0121</c:v>
                </c:pt>
                <c:pt idx="5">
                  <c:v>267.237075</c:v>
                </c:pt>
                <c:pt idx="6">
                  <c:v>319.49285000000003</c:v>
                </c:pt>
                <c:pt idx="7">
                  <c:v>240.63553333333334</c:v>
                </c:pt>
                <c:pt idx="8">
                  <c:v>414.95330000000001</c:v>
                </c:pt>
                <c:pt idx="9">
                  <c:v>182.32270000000003</c:v>
                </c:pt>
                <c:pt idx="10">
                  <c:v>419.12027499999999</c:v>
                </c:pt>
                <c:pt idx="11">
                  <c:v>245.8323285714286</c:v>
                </c:pt>
                <c:pt idx="12">
                  <c:v>127.20229999999999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4-4517-A01E-6CA4E82BC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2064056607"/>
        <c:axId val="2089678479"/>
        <c:axId val="0"/>
      </c:bar3DChart>
      <c:catAx>
        <c:axId val="2064056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78479"/>
        <c:crosses val="autoZero"/>
        <c:auto val="1"/>
        <c:lblAlgn val="ctr"/>
        <c:lblOffset val="100"/>
        <c:noMultiLvlLbl val="0"/>
      </c:catAx>
      <c:valAx>
        <c:axId val="208967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Popularity</a:t>
                </a:r>
              </a:p>
            </c:rich>
          </c:tx>
          <c:layout>
            <c:manualLayout>
              <c:xMode val="edge"/>
              <c:yMode val="edge"/>
              <c:x val="0.50263415728993066"/>
              <c:y val="0.90464323638111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476249</xdr:colOff>
      <xdr:row>2</xdr:row>
      <xdr:rowOff>14286</xdr:rowOff>
    </xdr:from>
    <xdr:to>
      <xdr:col>15</xdr:col>
      <xdr:colOff>266700</xdr:colOff>
      <xdr:row>24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28C18-C33A-CB6D-E7DD-055A0AA63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1114424</xdr:colOff>
      <xdr:row>3</xdr:row>
      <xdr:rowOff>109536</xdr:rowOff>
    </xdr:from>
    <xdr:to>
      <xdr:col>12</xdr:col>
      <xdr:colOff>314325</xdr:colOff>
      <xdr:row>23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B5F48-CA1D-6416-F279-E520C9547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3</xdr:row>
      <xdr:rowOff>147636</xdr:rowOff>
    </xdr:from>
    <xdr:to>
      <xdr:col>14</xdr:col>
      <xdr:colOff>209550</xdr:colOff>
      <xdr:row>23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D43E1-D1AB-8D12-89C2-B0F35D7C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Brijmahal" refreshedDate="46285.645220138889" createdVersion="8" refreshedVersion="8" minRefreshableVersion="3" recordCount="47" xr:uid="{2FEEF01E-6397-4B5C-896C-A4E1B28EE183}">
  <cacheSource type="worksheet">
    <worksheetSource name="tbmd_movies"/>
  </cacheSource>
  <cacheFields count="7">
    <cacheField name="genre_ids" numFmtId="0">
      <sharedItems/>
    </cacheField>
    <cacheField name="title" numFmtId="0">
      <sharedItems count="20">
        <s v="Spider-Man: Brand New Day"/>
        <s v="Coyote vs. Acme"/>
        <s v="Colony"/>
        <s v="The Odyssey"/>
        <s v="The End of Oak Street"/>
        <s v="The Mongoose"/>
        <s v="Mutiny"/>
        <s v="Moana"/>
        <s v="Drawn Together"/>
        <s v="Shape of My Heart"/>
        <s v="Resident Evil"/>
        <s v="Mayday"/>
        <s v="The Runner"/>
        <s v="Ghost in the Cell"/>
        <s v="Zip Wire"/>
        <s v="Vishwanath &amp; Sons"/>
        <s v="Toy Story 5"/>
        <s v="Clash of the Thundermans"/>
        <s v="Loves of a French Pussycat" u="1"/>
        <s v="Cavegirl" u="1"/>
      </sharedItems>
    </cacheField>
    <cacheField name="year" numFmtId="0">
      <sharedItems containsSemiMixedTypes="0" containsString="0" containsNumber="1" containsInteger="1" minValue="1972" maxValue="2026" count="4">
        <n v="2026"/>
        <n v="2024"/>
        <n v="1972" u="1"/>
        <n v="1985" u="1"/>
      </sharedItems>
    </cacheField>
    <cacheField name="genre" numFmtId="0">
      <sharedItems count="13">
        <s v="Science Fiction"/>
        <s v="Action"/>
        <s v="Adventure"/>
        <s v="Comedy"/>
        <s v="Family"/>
        <s v="Horror"/>
        <s v="Fantasy"/>
        <s v="Mystery"/>
        <s v="Thriller"/>
        <s v="Romance"/>
        <s v="Drama"/>
        <s v="Animation"/>
        <s v="TV Movie"/>
      </sharedItems>
    </cacheField>
    <cacheField name="vote_average" numFmtId="0">
      <sharedItems containsSemiMixedTypes="0" containsString="0" containsNumber="1" minValue="0" maxValue="8.3539999999999992"/>
    </cacheField>
    <cacheField name="vote_count" numFmtId="0">
      <sharedItems containsSemiMixedTypes="0" containsString="0" containsNumber="1" containsInteger="1" minValue="0" maxValue="3750"/>
    </cacheField>
    <cacheField name="popularity" numFmtId="0">
      <sharedItems containsSemiMixedTypes="0" containsString="0" containsNumber="1" minValue="127.20229999999999" maxValue="690.8872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[878, 28, 12]"/>
    <x v="0"/>
    <x v="0"/>
    <x v="0"/>
    <n v="7.8470000000000004"/>
    <n v="2730"/>
    <n v="690.88729999999998"/>
  </r>
  <r>
    <s v="[878, 28, 12]"/>
    <x v="0"/>
    <x v="0"/>
    <x v="1"/>
    <n v="7.8470000000000004"/>
    <n v="2730"/>
    <n v="690.88729999999998"/>
  </r>
  <r>
    <s v="[878, 28, 12]"/>
    <x v="0"/>
    <x v="0"/>
    <x v="2"/>
    <n v="7.8470000000000004"/>
    <n v="2730"/>
    <n v="690.88729999999998"/>
  </r>
  <r>
    <s v="[35, 12, 10751]"/>
    <x v="1"/>
    <x v="0"/>
    <x v="3"/>
    <n v="7.5389999999999997"/>
    <n v="427"/>
    <n v="539.50720000000001"/>
  </r>
  <r>
    <s v="[35, 12, 10751]"/>
    <x v="1"/>
    <x v="0"/>
    <x v="2"/>
    <n v="7.5389999999999997"/>
    <n v="427"/>
    <n v="539.50720000000001"/>
  </r>
  <r>
    <s v="[35, 12, 10751]"/>
    <x v="1"/>
    <x v="0"/>
    <x v="4"/>
    <n v="7.5389999999999997"/>
    <n v="427"/>
    <n v="539.50720000000001"/>
  </r>
  <r>
    <s v="[28, 27, 878]"/>
    <x v="2"/>
    <x v="0"/>
    <x v="1"/>
    <n v="8.0830000000000002"/>
    <n v="805"/>
    <n v="401.41989999999998"/>
  </r>
  <r>
    <s v="[28, 27, 878]"/>
    <x v="2"/>
    <x v="0"/>
    <x v="5"/>
    <n v="8.0830000000000002"/>
    <n v="805"/>
    <n v="401.41989999999998"/>
  </r>
  <r>
    <s v="[28, 27, 878]"/>
    <x v="2"/>
    <x v="0"/>
    <x v="0"/>
    <n v="8.0830000000000002"/>
    <n v="805"/>
    <n v="401.41989999999998"/>
  </r>
  <r>
    <s v="[12, 28, 14]"/>
    <x v="3"/>
    <x v="0"/>
    <x v="2"/>
    <n v="8.0109999999999992"/>
    <n v="3750"/>
    <n v="383.25330000000002"/>
  </r>
  <r>
    <s v="[12, 28, 14]"/>
    <x v="3"/>
    <x v="0"/>
    <x v="1"/>
    <n v="8.0109999999999992"/>
    <n v="3750"/>
    <n v="383.25330000000002"/>
  </r>
  <r>
    <s v="[12, 28, 14]"/>
    <x v="3"/>
    <x v="0"/>
    <x v="6"/>
    <n v="8.0109999999999992"/>
    <n v="3750"/>
    <n v="383.25330000000002"/>
  </r>
  <r>
    <s v="[878, 9648, 53]"/>
    <x v="4"/>
    <x v="0"/>
    <x v="0"/>
    <n v="6.8789999999999996"/>
    <n v="968"/>
    <n v="414.95330000000001"/>
  </r>
  <r>
    <s v="[878, 9648, 53]"/>
    <x v="4"/>
    <x v="0"/>
    <x v="7"/>
    <n v="6.8789999999999996"/>
    <n v="968"/>
    <n v="414.95330000000001"/>
  </r>
  <r>
    <s v="[878, 9648, 53]"/>
    <x v="4"/>
    <x v="0"/>
    <x v="8"/>
    <n v="6.8789999999999996"/>
    <n v="968"/>
    <n v="414.95330000000001"/>
  </r>
  <r>
    <s v="[28, 53]"/>
    <x v="5"/>
    <x v="0"/>
    <x v="1"/>
    <n v="0"/>
    <n v="0"/>
    <n v="314.22539999999998"/>
  </r>
  <r>
    <s v="[28, 53]"/>
    <x v="5"/>
    <x v="0"/>
    <x v="8"/>
    <n v="0"/>
    <n v="0"/>
    <n v="314.22539999999998"/>
  </r>
  <r>
    <s v="[28, 53]"/>
    <x v="6"/>
    <x v="0"/>
    <x v="1"/>
    <n v="6.43"/>
    <n v="408"/>
    <n v="280.22980000000001"/>
  </r>
  <r>
    <s v="[28, 53]"/>
    <x v="6"/>
    <x v="0"/>
    <x v="8"/>
    <n v="6.43"/>
    <n v="408"/>
    <n v="280.22980000000001"/>
  </r>
  <r>
    <s v="[10751, 14, 35, 12]"/>
    <x v="7"/>
    <x v="0"/>
    <x v="4"/>
    <n v="7.3"/>
    <n v="662"/>
    <n v="255.73240000000001"/>
  </r>
  <r>
    <s v="[10751, 14, 35, 12]"/>
    <x v="7"/>
    <x v="0"/>
    <x v="6"/>
    <n v="7.3"/>
    <n v="662"/>
    <n v="255.73240000000001"/>
  </r>
  <r>
    <s v="[10751, 14, 35, 12]"/>
    <x v="7"/>
    <x v="0"/>
    <x v="3"/>
    <n v="7.3"/>
    <n v="662"/>
    <n v="255.73240000000001"/>
  </r>
  <r>
    <s v="[10751, 14, 35, 12]"/>
    <x v="7"/>
    <x v="0"/>
    <x v="2"/>
    <n v="7.3"/>
    <n v="662"/>
    <n v="255.73240000000001"/>
  </r>
  <r>
    <s v="[10749, 53]"/>
    <x v="8"/>
    <x v="0"/>
    <x v="9"/>
    <n v="6.6760000000000002"/>
    <n v="85"/>
    <n v="217.9092"/>
  </r>
  <r>
    <s v="[10749, 53]"/>
    <x v="8"/>
    <x v="0"/>
    <x v="8"/>
    <n v="6.6760000000000002"/>
    <n v="85"/>
    <n v="217.9092"/>
  </r>
  <r>
    <s v="[10749]"/>
    <x v="9"/>
    <x v="1"/>
    <x v="9"/>
    <n v="5.6879999999999997"/>
    <n v="8"/>
    <n v="174.04679999999999"/>
  </r>
  <r>
    <s v="[27, 878]"/>
    <x v="10"/>
    <x v="0"/>
    <x v="5"/>
    <n v="8.1"/>
    <n v="23"/>
    <n v="169.22059999999999"/>
  </r>
  <r>
    <s v="[27, 878]"/>
    <x v="10"/>
    <x v="0"/>
    <x v="0"/>
    <n v="8.1"/>
    <n v="23"/>
    <n v="169.22059999999999"/>
  </r>
  <r>
    <s v="[28, 35]"/>
    <x v="11"/>
    <x v="0"/>
    <x v="1"/>
    <n v="7.9820000000000002"/>
    <n v="645"/>
    <n v="151.17660000000001"/>
  </r>
  <r>
    <s v="[28, 35]"/>
    <x v="11"/>
    <x v="0"/>
    <x v="3"/>
    <n v="7.9820000000000002"/>
    <n v="645"/>
    <n v="151.17660000000001"/>
  </r>
  <r>
    <s v="[53, 28]"/>
    <x v="12"/>
    <x v="0"/>
    <x v="8"/>
    <n v="6.77"/>
    <n v="498"/>
    <n v="167.91759999999999"/>
  </r>
  <r>
    <s v="[53, 28]"/>
    <x v="12"/>
    <x v="0"/>
    <x v="1"/>
    <n v="6.77"/>
    <n v="498"/>
    <n v="167.91759999999999"/>
  </r>
  <r>
    <s v="[27, 35, 53]"/>
    <x v="13"/>
    <x v="0"/>
    <x v="5"/>
    <n v="7.2140000000000004"/>
    <n v="63"/>
    <n v="151.26609999999999"/>
  </r>
  <r>
    <s v="[27, 35, 53]"/>
    <x v="13"/>
    <x v="0"/>
    <x v="3"/>
    <n v="7.2140000000000004"/>
    <n v="63"/>
    <n v="151.26609999999999"/>
  </r>
  <r>
    <s v="[27, 35, 53]"/>
    <x v="13"/>
    <x v="0"/>
    <x v="8"/>
    <n v="7.2140000000000004"/>
    <n v="63"/>
    <n v="151.26609999999999"/>
  </r>
  <r>
    <s v="[28, 53]"/>
    <x v="14"/>
    <x v="0"/>
    <x v="1"/>
    <n v="7.5449999999999999"/>
    <n v="11"/>
    <n v="174.32490000000001"/>
  </r>
  <r>
    <s v="[28, 53]"/>
    <x v="14"/>
    <x v="0"/>
    <x v="8"/>
    <n v="7.5449999999999999"/>
    <n v="11"/>
    <n v="174.32490000000001"/>
  </r>
  <r>
    <s v="[18, 10749, 35]"/>
    <x v="15"/>
    <x v="0"/>
    <x v="10"/>
    <n v="7.2169999999999996"/>
    <n v="23"/>
    <n v="155.0121"/>
  </r>
  <r>
    <s v="[18, 10749, 35]"/>
    <x v="15"/>
    <x v="0"/>
    <x v="9"/>
    <n v="7.2169999999999996"/>
    <n v="23"/>
    <n v="155.0121"/>
  </r>
  <r>
    <s v="[18, 10749, 35]"/>
    <x v="15"/>
    <x v="0"/>
    <x v="3"/>
    <n v="7.2169999999999996"/>
    <n v="23"/>
    <n v="155.0121"/>
  </r>
  <r>
    <s v="[16, 10751, 35, 12]"/>
    <x v="16"/>
    <x v="0"/>
    <x v="11"/>
    <n v="8.3539999999999992"/>
    <n v="2171"/>
    <n v="146.50640000000001"/>
  </r>
  <r>
    <s v="[16, 10751, 35, 12]"/>
    <x v="16"/>
    <x v="0"/>
    <x v="4"/>
    <n v="8.3539999999999992"/>
    <n v="2171"/>
    <n v="146.50640000000001"/>
  </r>
  <r>
    <s v="[16, 10751, 35, 12]"/>
    <x v="16"/>
    <x v="0"/>
    <x v="3"/>
    <n v="8.3539999999999992"/>
    <n v="2171"/>
    <n v="146.50640000000001"/>
  </r>
  <r>
    <s v="[16, 10751, 35, 12]"/>
    <x v="16"/>
    <x v="0"/>
    <x v="2"/>
    <n v="8.3539999999999992"/>
    <n v="2171"/>
    <n v="146.50640000000001"/>
  </r>
  <r>
    <s v="[10770, 10751, 28]"/>
    <x v="17"/>
    <x v="0"/>
    <x v="12"/>
    <n v="6.8570000000000002"/>
    <n v="56"/>
    <n v="127.20229999999999"/>
  </r>
  <r>
    <s v="[10770, 10751, 28]"/>
    <x v="17"/>
    <x v="0"/>
    <x v="4"/>
    <n v="6.8570000000000002"/>
    <n v="56"/>
    <n v="127.20229999999999"/>
  </r>
  <r>
    <s v="[10770, 10751, 28]"/>
    <x v="17"/>
    <x v="0"/>
    <x v="1"/>
    <n v="6.8570000000000002"/>
    <n v="56"/>
    <n v="127.2022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24EAF-205B-4D58-B5FF-477AA7C902B0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8" firstHeaderRow="1" firstDataRow="1" firstDataCol="1"/>
  <pivotFields count="7">
    <pivotField dataField="1" showAll="0"/>
    <pivotField axis="axisRow" showAll="0">
      <items count="21">
        <item m="1" x="19"/>
        <item x="17"/>
        <item x="2"/>
        <item x="1"/>
        <item x="8"/>
        <item x="13"/>
        <item m="1" x="18"/>
        <item x="11"/>
        <item x="7"/>
        <item x="6"/>
        <item x="10"/>
        <item x="9"/>
        <item x="0"/>
        <item x="4"/>
        <item x="5"/>
        <item x="3"/>
        <item x="12"/>
        <item x="16"/>
        <item x="15"/>
        <item x="14"/>
        <item t="default"/>
      </items>
    </pivotField>
    <pivotField multipleItemSelectionAllowed="1" showAll="0"/>
    <pivotField axis="axisRow" multipleItemSelectionAllowed="1" showAll="0">
      <items count="14">
        <item sd="0" x="1"/>
        <item sd="0" x="2"/>
        <item sd="0" x="11"/>
        <item sd="0" x="3"/>
        <item sd="0" x="10"/>
        <item sd="0" x="4"/>
        <item sd="0" x="6"/>
        <item sd="0" x="5"/>
        <item sd="0" x="7"/>
        <item sd="0" x="9"/>
        <item sd="0" x="0"/>
        <item sd="0" x="8"/>
        <item sd="0" x="12"/>
        <item t="default" sd="0"/>
      </items>
    </pivotField>
    <pivotField showAll="0"/>
    <pivotField showAll="0"/>
    <pivotField showAll="0"/>
  </pivotFields>
  <rowFields count="2">
    <field x="3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genre_id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27DC8-EACA-442A-BB66-D8A2034D62A0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 rowPageCount="1" colPageCount="1"/>
  <pivotFields count="7">
    <pivotField showAll="0"/>
    <pivotField showAll="0"/>
    <pivotField axis="axisPage" multipleItemSelectionAllowed="1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1"/>
        <item x="2"/>
        <item x="11"/>
        <item x="3"/>
        <item x="10"/>
        <item x="4"/>
        <item x="6"/>
        <item x="5"/>
        <item x="7"/>
        <item x="9"/>
        <item x="0"/>
        <item x="8"/>
        <item x="12"/>
        <item t="default"/>
      </items>
    </pivotField>
    <pivotField dataField="1"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Average of vote_average" fld="4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9CB3D-B72F-4A53-A714-30298EAD6B1E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 rowPageCount="1" colPageCount="1"/>
  <pivotFields count="7">
    <pivotField showAll="0"/>
    <pivotField showAll="0"/>
    <pivotField axis="axisPage" showAll="0">
      <items count="5">
        <item m="1" x="2"/>
        <item m="1" x="3"/>
        <item x="1"/>
        <item x="0"/>
        <item t="default"/>
      </items>
    </pivotField>
    <pivotField axis="axisRow" showAll="0">
      <items count="14">
        <item x="1"/>
        <item x="2"/>
        <item x="11"/>
        <item x="3"/>
        <item x="10"/>
        <item x="4"/>
        <item x="6"/>
        <item x="5"/>
        <item x="7"/>
        <item x="9"/>
        <item x="0"/>
        <item x="8"/>
        <item x="12"/>
        <item t="default"/>
      </items>
    </pivotField>
    <pivotField showAll="0"/>
    <pivotField showAll="0"/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Average of popularity" fld="6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5F3BA1-3908-4327-A5FF-8E8509557F3B}" autoFormatId="16" applyNumberFormats="0" applyBorderFormats="0" applyFontFormats="0" applyPatternFormats="0" applyAlignmentFormats="0" applyWidthHeightFormats="0">
  <queryTableRefresh nextId="8">
    <queryTableFields count="7">
      <queryTableField id="1" name="genre_ids" tableColumnId="1"/>
      <queryTableField id="2" name="title" tableColumnId="2"/>
      <queryTableField id="3" name="year" tableColumnId="3"/>
      <queryTableField id="4" name="genre" tableColumnId="4"/>
      <queryTableField id="5" name="vote_average" tableColumnId="5"/>
      <queryTableField id="6" name="vote_count" tableColumnId="6"/>
      <queryTableField id="7" name="popular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A27DD-00AC-4EF8-98C1-BAE8054219EC}" name="tbmd_movies" displayName="tbmd_movies" ref="A1:G48" tableType="queryTable" totalsRowShown="0">
  <autoFilter ref="A1:G48" xr:uid="{373A27DD-00AC-4EF8-98C1-BAE8054219EC}"/>
  <tableColumns count="7">
    <tableColumn id="1" xr3:uid="{914BE755-9515-44B6-BF3E-F9843EB5590A}" uniqueName="1" name="genre_ids" queryTableFieldId="1" dataDxfId="4"/>
    <tableColumn id="2" xr3:uid="{B22AFC34-0F46-413D-806D-BED999B748EF}" uniqueName="2" name="title" queryTableFieldId="2" dataDxfId="3"/>
    <tableColumn id="3" xr3:uid="{C9E2B9C7-8F5D-492D-B23E-292ED4F35260}" uniqueName="3" name="year" queryTableFieldId="3"/>
    <tableColumn id="4" xr3:uid="{93C1BEC3-2F7D-4BBF-B8FC-73B4399D194E}" uniqueName="4" name="genre" queryTableFieldId="4" dataDxfId="2"/>
    <tableColumn id="5" xr3:uid="{92592417-7C61-4A00-93BD-7A12C078FA3A}" uniqueName="5" name="vote_average" queryTableFieldId="5"/>
    <tableColumn id="6" xr3:uid="{658F2FFE-B200-42FB-A8E2-26F182E348AB}" uniqueName="6" name="vote_count" queryTableFieldId="6"/>
    <tableColumn id="7" xr3:uid="{A26C1D1A-FCCC-4BF9-B755-EC7E097D3A32}" uniqueName="7" name="popularity" queryTableFieldId="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543B-93ED-4960-82B0-D0B780015121}">
  <dimension ref="A1:G48"/>
  <sheetViews>
    <sheetView tabSelected="1" workbookViewId="0">
      <selection activeCell="E61" sqref="E61"/>
    </sheetView>
  </sheetViews>
  <sheetFormatPr defaultRowHeight="15" x14ac:dyDescent="0.25"/>
  <cols>
    <col min="1" max="1" width="16.28515625" bestFit="1" customWidth="1"/>
    <col min="2" max="2" width="26" bestFit="1" customWidth="1"/>
    <col min="3" max="3" width="7.140625" bestFit="1" customWidth="1"/>
    <col min="4" max="4" width="14.28515625" bestFit="1" customWidth="1"/>
    <col min="5" max="5" width="15.140625" bestFit="1" customWidth="1"/>
    <col min="6" max="6" width="13.28515625" bestFit="1" customWidth="1"/>
    <col min="7" max="7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>
        <v>2026</v>
      </c>
      <c r="D2" s="1" t="s">
        <v>9</v>
      </c>
      <c r="E2">
        <v>7.8470000000000004</v>
      </c>
      <c r="F2">
        <v>2730</v>
      </c>
      <c r="G2">
        <v>690.88729999999998</v>
      </c>
    </row>
    <row r="3" spans="1:7" x14ac:dyDescent="0.25">
      <c r="A3" s="1" t="s">
        <v>7</v>
      </c>
      <c r="B3" s="1" t="s">
        <v>8</v>
      </c>
      <c r="C3">
        <v>2026</v>
      </c>
      <c r="D3" s="1" t="s">
        <v>10</v>
      </c>
      <c r="E3">
        <v>7.8470000000000004</v>
      </c>
      <c r="F3">
        <v>2730</v>
      </c>
      <c r="G3">
        <v>690.88729999999998</v>
      </c>
    </row>
    <row r="4" spans="1:7" x14ac:dyDescent="0.25">
      <c r="A4" s="1" t="s">
        <v>7</v>
      </c>
      <c r="B4" s="1" t="s">
        <v>8</v>
      </c>
      <c r="C4">
        <v>2026</v>
      </c>
      <c r="D4" s="1" t="s">
        <v>11</v>
      </c>
      <c r="E4">
        <v>7.8470000000000004</v>
      </c>
      <c r="F4">
        <v>2730</v>
      </c>
      <c r="G4">
        <v>690.88729999999998</v>
      </c>
    </row>
    <row r="5" spans="1:7" x14ac:dyDescent="0.25">
      <c r="A5" s="1" t="s">
        <v>12</v>
      </c>
      <c r="B5" s="1" t="s">
        <v>13</v>
      </c>
      <c r="C5">
        <v>2026</v>
      </c>
      <c r="D5" s="1" t="s">
        <v>14</v>
      </c>
      <c r="E5">
        <v>7.5389999999999997</v>
      </c>
      <c r="F5">
        <v>427</v>
      </c>
      <c r="G5">
        <v>539.50720000000001</v>
      </c>
    </row>
    <row r="6" spans="1:7" x14ac:dyDescent="0.25">
      <c r="A6" s="1" t="s">
        <v>12</v>
      </c>
      <c r="B6" s="1" t="s">
        <v>13</v>
      </c>
      <c r="C6">
        <v>2026</v>
      </c>
      <c r="D6" s="1" t="s">
        <v>11</v>
      </c>
      <c r="E6">
        <v>7.5389999999999997</v>
      </c>
      <c r="F6">
        <v>427</v>
      </c>
      <c r="G6">
        <v>539.50720000000001</v>
      </c>
    </row>
    <row r="7" spans="1:7" x14ac:dyDescent="0.25">
      <c r="A7" s="1" t="s">
        <v>12</v>
      </c>
      <c r="B7" s="1" t="s">
        <v>13</v>
      </c>
      <c r="C7">
        <v>2026</v>
      </c>
      <c r="D7" s="1" t="s">
        <v>15</v>
      </c>
      <c r="E7">
        <v>7.5389999999999997</v>
      </c>
      <c r="F7">
        <v>427</v>
      </c>
      <c r="G7">
        <v>539.50720000000001</v>
      </c>
    </row>
    <row r="8" spans="1:7" x14ac:dyDescent="0.25">
      <c r="A8" s="1" t="s">
        <v>16</v>
      </c>
      <c r="B8" s="1" t="s">
        <v>17</v>
      </c>
      <c r="C8">
        <v>2026</v>
      </c>
      <c r="D8" s="1" t="s">
        <v>10</v>
      </c>
      <c r="E8">
        <v>8.0830000000000002</v>
      </c>
      <c r="F8">
        <v>805</v>
      </c>
      <c r="G8">
        <v>401.41989999999998</v>
      </c>
    </row>
    <row r="9" spans="1:7" x14ac:dyDescent="0.25">
      <c r="A9" s="1" t="s">
        <v>16</v>
      </c>
      <c r="B9" s="1" t="s">
        <v>17</v>
      </c>
      <c r="C9">
        <v>2026</v>
      </c>
      <c r="D9" s="1" t="s">
        <v>18</v>
      </c>
      <c r="E9">
        <v>8.0830000000000002</v>
      </c>
      <c r="F9">
        <v>805</v>
      </c>
      <c r="G9">
        <v>401.41989999999998</v>
      </c>
    </row>
    <row r="10" spans="1:7" x14ac:dyDescent="0.25">
      <c r="A10" s="1" t="s">
        <v>16</v>
      </c>
      <c r="B10" s="1" t="s">
        <v>17</v>
      </c>
      <c r="C10">
        <v>2026</v>
      </c>
      <c r="D10" s="1" t="s">
        <v>9</v>
      </c>
      <c r="E10">
        <v>8.0830000000000002</v>
      </c>
      <c r="F10">
        <v>805</v>
      </c>
      <c r="G10">
        <v>401.41989999999998</v>
      </c>
    </row>
    <row r="11" spans="1:7" x14ac:dyDescent="0.25">
      <c r="A11" s="1" t="s">
        <v>19</v>
      </c>
      <c r="B11" s="1" t="s">
        <v>20</v>
      </c>
      <c r="C11">
        <v>2026</v>
      </c>
      <c r="D11" s="1" t="s">
        <v>11</v>
      </c>
      <c r="E11">
        <v>8.0109999999999992</v>
      </c>
      <c r="F11">
        <v>3750</v>
      </c>
      <c r="G11">
        <v>383.25330000000002</v>
      </c>
    </row>
    <row r="12" spans="1:7" x14ac:dyDescent="0.25">
      <c r="A12" s="1" t="s">
        <v>19</v>
      </c>
      <c r="B12" s="1" t="s">
        <v>20</v>
      </c>
      <c r="C12">
        <v>2026</v>
      </c>
      <c r="D12" s="1" t="s">
        <v>10</v>
      </c>
      <c r="E12">
        <v>8.0109999999999992</v>
      </c>
      <c r="F12">
        <v>3750</v>
      </c>
      <c r="G12">
        <v>383.25330000000002</v>
      </c>
    </row>
    <row r="13" spans="1:7" x14ac:dyDescent="0.25">
      <c r="A13" s="1" t="s">
        <v>19</v>
      </c>
      <c r="B13" s="1" t="s">
        <v>20</v>
      </c>
      <c r="C13">
        <v>2026</v>
      </c>
      <c r="D13" s="1" t="s">
        <v>21</v>
      </c>
      <c r="E13">
        <v>8.0109999999999992</v>
      </c>
      <c r="F13">
        <v>3750</v>
      </c>
      <c r="G13">
        <v>383.25330000000002</v>
      </c>
    </row>
    <row r="14" spans="1:7" x14ac:dyDescent="0.25">
      <c r="A14" s="1" t="s">
        <v>22</v>
      </c>
      <c r="B14" s="1" t="s">
        <v>23</v>
      </c>
      <c r="C14">
        <v>2026</v>
      </c>
      <c r="D14" s="1" t="s">
        <v>9</v>
      </c>
      <c r="E14">
        <v>6.8789999999999996</v>
      </c>
      <c r="F14">
        <v>968</v>
      </c>
      <c r="G14">
        <v>414.95330000000001</v>
      </c>
    </row>
    <row r="15" spans="1:7" x14ac:dyDescent="0.25">
      <c r="A15" s="1" t="s">
        <v>22</v>
      </c>
      <c r="B15" s="1" t="s">
        <v>23</v>
      </c>
      <c r="C15">
        <v>2026</v>
      </c>
      <c r="D15" s="1" t="s">
        <v>24</v>
      </c>
      <c r="E15">
        <v>6.8789999999999996</v>
      </c>
      <c r="F15">
        <v>968</v>
      </c>
      <c r="G15">
        <v>414.95330000000001</v>
      </c>
    </row>
    <row r="16" spans="1:7" x14ac:dyDescent="0.25">
      <c r="A16" s="1" t="s">
        <v>22</v>
      </c>
      <c r="B16" s="1" t="s">
        <v>23</v>
      </c>
      <c r="C16">
        <v>2026</v>
      </c>
      <c r="D16" s="1" t="s">
        <v>25</v>
      </c>
      <c r="E16">
        <v>6.8789999999999996</v>
      </c>
      <c r="F16">
        <v>968</v>
      </c>
      <c r="G16">
        <v>414.95330000000001</v>
      </c>
    </row>
    <row r="17" spans="1:7" x14ac:dyDescent="0.25">
      <c r="A17" s="1" t="s">
        <v>26</v>
      </c>
      <c r="B17" s="1" t="s">
        <v>27</v>
      </c>
      <c r="C17">
        <v>2026</v>
      </c>
      <c r="D17" s="1" t="s">
        <v>10</v>
      </c>
      <c r="E17">
        <v>0</v>
      </c>
      <c r="F17">
        <v>0</v>
      </c>
      <c r="G17">
        <v>314.22539999999998</v>
      </c>
    </row>
    <row r="18" spans="1:7" x14ac:dyDescent="0.25">
      <c r="A18" s="1" t="s">
        <v>26</v>
      </c>
      <c r="B18" s="1" t="s">
        <v>27</v>
      </c>
      <c r="C18">
        <v>2026</v>
      </c>
      <c r="D18" s="1" t="s">
        <v>25</v>
      </c>
      <c r="E18">
        <v>0</v>
      </c>
      <c r="F18">
        <v>0</v>
      </c>
      <c r="G18">
        <v>314.22539999999998</v>
      </c>
    </row>
    <row r="19" spans="1:7" x14ac:dyDescent="0.25">
      <c r="A19" s="1" t="s">
        <v>26</v>
      </c>
      <c r="B19" s="1" t="s">
        <v>28</v>
      </c>
      <c r="C19">
        <v>2026</v>
      </c>
      <c r="D19" s="1" t="s">
        <v>10</v>
      </c>
      <c r="E19">
        <v>6.43</v>
      </c>
      <c r="F19">
        <v>408</v>
      </c>
      <c r="G19">
        <v>280.22980000000001</v>
      </c>
    </row>
    <row r="20" spans="1:7" x14ac:dyDescent="0.25">
      <c r="A20" s="1" t="s">
        <v>26</v>
      </c>
      <c r="B20" s="1" t="s">
        <v>28</v>
      </c>
      <c r="C20">
        <v>2026</v>
      </c>
      <c r="D20" s="1" t="s">
        <v>25</v>
      </c>
      <c r="E20">
        <v>6.43</v>
      </c>
      <c r="F20">
        <v>408</v>
      </c>
      <c r="G20">
        <v>280.22980000000001</v>
      </c>
    </row>
    <row r="21" spans="1:7" x14ac:dyDescent="0.25">
      <c r="A21" s="1" t="s">
        <v>29</v>
      </c>
      <c r="B21" s="1" t="s">
        <v>30</v>
      </c>
      <c r="C21">
        <v>2026</v>
      </c>
      <c r="D21" s="1" t="s">
        <v>15</v>
      </c>
      <c r="E21">
        <v>7.3</v>
      </c>
      <c r="F21">
        <v>662</v>
      </c>
      <c r="G21">
        <v>255.73240000000001</v>
      </c>
    </row>
    <row r="22" spans="1:7" x14ac:dyDescent="0.25">
      <c r="A22" s="1" t="s">
        <v>29</v>
      </c>
      <c r="B22" s="1" t="s">
        <v>30</v>
      </c>
      <c r="C22">
        <v>2026</v>
      </c>
      <c r="D22" s="1" t="s">
        <v>21</v>
      </c>
      <c r="E22">
        <v>7.3</v>
      </c>
      <c r="F22">
        <v>662</v>
      </c>
      <c r="G22">
        <v>255.73240000000001</v>
      </c>
    </row>
    <row r="23" spans="1:7" x14ac:dyDescent="0.25">
      <c r="A23" s="1" t="s">
        <v>29</v>
      </c>
      <c r="B23" s="1" t="s">
        <v>30</v>
      </c>
      <c r="C23">
        <v>2026</v>
      </c>
      <c r="D23" s="1" t="s">
        <v>14</v>
      </c>
      <c r="E23">
        <v>7.3</v>
      </c>
      <c r="F23">
        <v>662</v>
      </c>
      <c r="G23">
        <v>255.73240000000001</v>
      </c>
    </row>
    <row r="24" spans="1:7" x14ac:dyDescent="0.25">
      <c r="A24" s="1" t="s">
        <v>29</v>
      </c>
      <c r="B24" s="1" t="s">
        <v>30</v>
      </c>
      <c r="C24">
        <v>2026</v>
      </c>
      <c r="D24" s="1" t="s">
        <v>11</v>
      </c>
      <c r="E24">
        <v>7.3</v>
      </c>
      <c r="F24">
        <v>662</v>
      </c>
      <c r="G24">
        <v>255.73240000000001</v>
      </c>
    </row>
    <row r="25" spans="1:7" x14ac:dyDescent="0.25">
      <c r="A25" s="1" t="s">
        <v>31</v>
      </c>
      <c r="B25" s="1" t="s">
        <v>32</v>
      </c>
      <c r="C25">
        <v>2026</v>
      </c>
      <c r="D25" s="1" t="s">
        <v>33</v>
      </c>
      <c r="E25">
        <v>6.6760000000000002</v>
      </c>
      <c r="F25">
        <v>85</v>
      </c>
      <c r="G25">
        <v>217.9092</v>
      </c>
    </row>
    <row r="26" spans="1:7" x14ac:dyDescent="0.25">
      <c r="A26" s="1" t="s">
        <v>31</v>
      </c>
      <c r="B26" s="1" t="s">
        <v>32</v>
      </c>
      <c r="C26">
        <v>2026</v>
      </c>
      <c r="D26" s="1" t="s">
        <v>25</v>
      </c>
      <c r="E26">
        <v>6.6760000000000002</v>
      </c>
      <c r="F26">
        <v>85</v>
      </c>
      <c r="G26">
        <v>217.9092</v>
      </c>
    </row>
    <row r="27" spans="1:7" x14ac:dyDescent="0.25">
      <c r="A27" s="1" t="s">
        <v>34</v>
      </c>
      <c r="B27" s="1" t="s">
        <v>35</v>
      </c>
      <c r="C27">
        <v>2024</v>
      </c>
      <c r="D27" s="1" t="s">
        <v>33</v>
      </c>
      <c r="E27">
        <v>5.6879999999999997</v>
      </c>
      <c r="F27">
        <v>8</v>
      </c>
      <c r="G27">
        <v>174.04679999999999</v>
      </c>
    </row>
    <row r="28" spans="1:7" x14ac:dyDescent="0.25">
      <c r="A28" s="1" t="s">
        <v>36</v>
      </c>
      <c r="B28" s="1" t="s">
        <v>37</v>
      </c>
      <c r="C28">
        <v>2026</v>
      </c>
      <c r="D28" s="1" t="s">
        <v>18</v>
      </c>
      <c r="E28">
        <v>8.1</v>
      </c>
      <c r="F28">
        <v>23</v>
      </c>
      <c r="G28">
        <v>169.22059999999999</v>
      </c>
    </row>
    <row r="29" spans="1:7" x14ac:dyDescent="0.25">
      <c r="A29" s="1" t="s">
        <v>36</v>
      </c>
      <c r="B29" s="1" t="s">
        <v>37</v>
      </c>
      <c r="C29">
        <v>2026</v>
      </c>
      <c r="D29" s="1" t="s">
        <v>9</v>
      </c>
      <c r="E29">
        <v>8.1</v>
      </c>
      <c r="F29">
        <v>23</v>
      </c>
      <c r="G29">
        <v>169.22059999999999</v>
      </c>
    </row>
    <row r="30" spans="1:7" x14ac:dyDescent="0.25">
      <c r="A30" s="1" t="s">
        <v>38</v>
      </c>
      <c r="B30" s="1" t="s">
        <v>39</v>
      </c>
      <c r="C30">
        <v>2026</v>
      </c>
      <c r="D30" s="1" t="s">
        <v>10</v>
      </c>
      <c r="E30">
        <v>7.9820000000000002</v>
      </c>
      <c r="F30">
        <v>645</v>
      </c>
      <c r="G30">
        <v>151.17660000000001</v>
      </c>
    </row>
    <row r="31" spans="1:7" x14ac:dyDescent="0.25">
      <c r="A31" s="1" t="s">
        <v>38</v>
      </c>
      <c r="B31" s="1" t="s">
        <v>39</v>
      </c>
      <c r="C31">
        <v>2026</v>
      </c>
      <c r="D31" s="1" t="s">
        <v>14</v>
      </c>
      <c r="E31">
        <v>7.9820000000000002</v>
      </c>
      <c r="F31">
        <v>645</v>
      </c>
      <c r="G31">
        <v>151.17660000000001</v>
      </c>
    </row>
    <row r="32" spans="1:7" x14ac:dyDescent="0.25">
      <c r="A32" s="1" t="s">
        <v>40</v>
      </c>
      <c r="B32" s="1" t="s">
        <v>41</v>
      </c>
      <c r="C32">
        <v>2026</v>
      </c>
      <c r="D32" s="1" t="s">
        <v>25</v>
      </c>
      <c r="E32">
        <v>6.77</v>
      </c>
      <c r="F32">
        <v>498</v>
      </c>
      <c r="G32">
        <v>167.91759999999999</v>
      </c>
    </row>
    <row r="33" spans="1:7" x14ac:dyDescent="0.25">
      <c r="A33" s="1" t="s">
        <v>40</v>
      </c>
      <c r="B33" s="1" t="s">
        <v>41</v>
      </c>
      <c r="C33">
        <v>2026</v>
      </c>
      <c r="D33" s="1" t="s">
        <v>10</v>
      </c>
      <c r="E33">
        <v>6.77</v>
      </c>
      <c r="F33">
        <v>498</v>
      </c>
      <c r="G33">
        <v>167.91759999999999</v>
      </c>
    </row>
    <row r="34" spans="1:7" x14ac:dyDescent="0.25">
      <c r="A34" s="1" t="s">
        <v>42</v>
      </c>
      <c r="B34" s="1" t="s">
        <v>43</v>
      </c>
      <c r="C34">
        <v>2026</v>
      </c>
      <c r="D34" s="1" t="s">
        <v>18</v>
      </c>
      <c r="E34">
        <v>7.2140000000000004</v>
      </c>
      <c r="F34">
        <v>63</v>
      </c>
      <c r="G34">
        <v>151.26609999999999</v>
      </c>
    </row>
    <row r="35" spans="1:7" x14ac:dyDescent="0.25">
      <c r="A35" s="1" t="s">
        <v>42</v>
      </c>
      <c r="B35" s="1" t="s">
        <v>43</v>
      </c>
      <c r="C35">
        <v>2026</v>
      </c>
      <c r="D35" s="1" t="s">
        <v>14</v>
      </c>
      <c r="E35">
        <v>7.2140000000000004</v>
      </c>
      <c r="F35">
        <v>63</v>
      </c>
      <c r="G35">
        <v>151.26609999999999</v>
      </c>
    </row>
    <row r="36" spans="1:7" x14ac:dyDescent="0.25">
      <c r="A36" s="1" t="s">
        <v>42</v>
      </c>
      <c r="B36" s="1" t="s">
        <v>43</v>
      </c>
      <c r="C36">
        <v>2026</v>
      </c>
      <c r="D36" s="1" t="s">
        <v>25</v>
      </c>
      <c r="E36">
        <v>7.2140000000000004</v>
      </c>
      <c r="F36">
        <v>63</v>
      </c>
      <c r="G36">
        <v>151.26609999999999</v>
      </c>
    </row>
    <row r="37" spans="1:7" x14ac:dyDescent="0.25">
      <c r="A37" s="1" t="s">
        <v>26</v>
      </c>
      <c r="B37" s="1" t="s">
        <v>44</v>
      </c>
      <c r="C37">
        <v>2026</v>
      </c>
      <c r="D37" s="1" t="s">
        <v>10</v>
      </c>
      <c r="E37">
        <v>7.5449999999999999</v>
      </c>
      <c r="F37">
        <v>11</v>
      </c>
      <c r="G37">
        <v>174.32490000000001</v>
      </c>
    </row>
    <row r="38" spans="1:7" x14ac:dyDescent="0.25">
      <c r="A38" s="1" t="s">
        <v>26</v>
      </c>
      <c r="B38" s="1" t="s">
        <v>44</v>
      </c>
      <c r="C38">
        <v>2026</v>
      </c>
      <c r="D38" s="1" t="s">
        <v>25</v>
      </c>
      <c r="E38">
        <v>7.5449999999999999</v>
      </c>
      <c r="F38">
        <v>11</v>
      </c>
      <c r="G38">
        <v>174.32490000000001</v>
      </c>
    </row>
    <row r="39" spans="1:7" x14ac:dyDescent="0.25">
      <c r="A39" s="1" t="s">
        <v>45</v>
      </c>
      <c r="B39" s="1" t="s">
        <v>46</v>
      </c>
      <c r="C39">
        <v>2026</v>
      </c>
      <c r="D39" s="1" t="s">
        <v>47</v>
      </c>
      <c r="E39">
        <v>7.2169999999999996</v>
      </c>
      <c r="F39">
        <v>23</v>
      </c>
      <c r="G39">
        <v>155.0121</v>
      </c>
    </row>
    <row r="40" spans="1:7" x14ac:dyDescent="0.25">
      <c r="A40" s="1" t="s">
        <v>45</v>
      </c>
      <c r="B40" s="1" t="s">
        <v>46</v>
      </c>
      <c r="C40">
        <v>2026</v>
      </c>
      <c r="D40" s="1" t="s">
        <v>33</v>
      </c>
      <c r="E40">
        <v>7.2169999999999996</v>
      </c>
      <c r="F40">
        <v>23</v>
      </c>
      <c r="G40">
        <v>155.0121</v>
      </c>
    </row>
    <row r="41" spans="1:7" x14ac:dyDescent="0.25">
      <c r="A41" s="1" t="s">
        <v>45</v>
      </c>
      <c r="B41" s="1" t="s">
        <v>46</v>
      </c>
      <c r="C41">
        <v>2026</v>
      </c>
      <c r="D41" s="1" t="s">
        <v>14</v>
      </c>
      <c r="E41">
        <v>7.2169999999999996</v>
      </c>
      <c r="F41">
        <v>23</v>
      </c>
      <c r="G41">
        <v>155.0121</v>
      </c>
    </row>
    <row r="42" spans="1:7" x14ac:dyDescent="0.25">
      <c r="A42" s="1" t="s">
        <v>48</v>
      </c>
      <c r="B42" s="1" t="s">
        <v>49</v>
      </c>
      <c r="C42">
        <v>2026</v>
      </c>
      <c r="D42" s="1" t="s">
        <v>50</v>
      </c>
      <c r="E42">
        <v>8.3539999999999992</v>
      </c>
      <c r="F42">
        <v>2171</v>
      </c>
      <c r="G42">
        <v>146.50640000000001</v>
      </c>
    </row>
    <row r="43" spans="1:7" x14ac:dyDescent="0.25">
      <c r="A43" s="1" t="s">
        <v>48</v>
      </c>
      <c r="B43" s="1" t="s">
        <v>49</v>
      </c>
      <c r="C43">
        <v>2026</v>
      </c>
      <c r="D43" s="1" t="s">
        <v>15</v>
      </c>
      <c r="E43">
        <v>8.3539999999999992</v>
      </c>
      <c r="F43">
        <v>2171</v>
      </c>
      <c r="G43">
        <v>146.50640000000001</v>
      </c>
    </row>
    <row r="44" spans="1:7" x14ac:dyDescent="0.25">
      <c r="A44" s="1" t="s">
        <v>48</v>
      </c>
      <c r="B44" s="1" t="s">
        <v>49</v>
      </c>
      <c r="C44">
        <v>2026</v>
      </c>
      <c r="D44" s="1" t="s">
        <v>14</v>
      </c>
      <c r="E44">
        <v>8.3539999999999992</v>
      </c>
      <c r="F44">
        <v>2171</v>
      </c>
      <c r="G44">
        <v>146.50640000000001</v>
      </c>
    </row>
    <row r="45" spans="1:7" x14ac:dyDescent="0.25">
      <c r="A45" s="1" t="s">
        <v>48</v>
      </c>
      <c r="B45" s="1" t="s">
        <v>49</v>
      </c>
      <c r="C45">
        <v>2026</v>
      </c>
      <c r="D45" s="1" t="s">
        <v>11</v>
      </c>
      <c r="E45">
        <v>8.3539999999999992</v>
      </c>
      <c r="F45">
        <v>2171</v>
      </c>
      <c r="G45">
        <v>146.50640000000001</v>
      </c>
    </row>
    <row r="46" spans="1:7" x14ac:dyDescent="0.25">
      <c r="A46" s="1" t="s">
        <v>51</v>
      </c>
      <c r="B46" s="1" t="s">
        <v>52</v>
      </c>
      <c r="C46">
        <v>2026</v>
      </c>
      <c r="D46" s="1" t="s">
        <v>53</v>
      </c>
      <c r="E46">
        <v>6.8570000000000002</v>
      </c>
      <c r="F46">
        <v>56</v>
      </c>
      <c r="G46">
        <v>127.20229999999999</v>
      </c>
    </row>
    <row r="47" spans="1:7" x14ac:dyDescent="0.25">
      <c r="A47" s="1" t="s">
        <v>51</v>
      </c>
      <c r="B47" s="1" t="s">
        <v>52</v>
      </c>
      <c r="C47">
        <v>2026</v>
      </c>
      <c r="D47" s="1" t="s">
        <v>15</v>
      </c>
      <c r="E47">
        <v>6.8570000000000002</v>
      </c>
      <c r="F47">
        <v>56</v>
      </c>
      <c r="G47">
        <v>127.20229999999999</v>
      </c>
    </row>
    <row r="48" spans="1:7" x14ac:dyDescent="0.25">
      <c r="A48" s="1" t="s">
        <v>51</v>
      </c>
      <c r="B48" s="1" t="s">
        <v>52</v>
      </c>
      <c r="C48">
        <v>2026</v>
      </c>
      <c r="D48" s="1" t="s">
        <v>10</v>
      </c>
      <c r="E48">
        <v>6.8570000000000002</v>
      </c>
      <c r="F48">
        <v>56</v>
      </c>
      <c r="G48">
        <v>127.20229999999999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404-F39D-4816-B4C9-2C1A1FF247AF}">
  <dimension ref="A4:B18"/>
  <sheetViews>
    <sheetView workbookViewId="0">
      <selection activeCell="A4" sqref="A4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0.28515625" bestFit="1" customWidth="1"/>
    <col min="4" max="4" width="10.140625" bestFit="1" customWidth="1"/>
    <col min="5" max="6" width="9" bestFit="1" customWidth="1"/>
    <col min="7" max="11" width="10" bestFit="1" customWidth="1"/>
    <col min="12" max="12" width="14.85546875" bestFit="1" customWidth="1"/>
    <col min="13" max="13" width="10" bestFit="1" customWidth="1"/>
    <col min="14" max="14" width="9" bestFit="1" customWidth="1"/>
    <col min="15" max="15" width="11.28515625" bestFit="1" customWidth="1"/>
    <col min="16" max="16" width="14.140625" bestFit="1" customWidth="1"/>
    <col min="17" max="17" width="12.42578125" bestFit="1" customWidth="1"/>
    <col min="18" max="18" width="11.28515625" bestFit="1" customWidth="1"/>
    <col min="19" max="19" width="10.7109375" bestFit="1" customWidth="1"/>
    <col min="20" max="20" width="18.140625" bestFit="1" customWidth="1"/>
    <col min="21" max="21" width="9" bestFit="1" customWidth="1"/>
    <col min="22" max="22" width="11.28515625" bestFit="1" customWidth="1"/>
  </cols>
  <sheetData>
    <row r="4" spans="1:2" x14ac:dyDescent="0.25">
      <c r="A4" s="2" t="s">
        <v>54</v>
      </c>
      <c r="B4" t="s">
        <v>57</v>
      </c>
    </row>
    <row r="5" spans="1:2" x14ac:dyDescent="0.25">
      <c r="A5" s="3" t="s">
        <v>10</v>
      </c>
      <c r="B5" s="1">
        <v>9</v>
      </c>
    </row>
    <row r="6" spans="1:2" x14ac:dyDescent="0.25">
      <c r="A6" s="3" t="s">
        <v>11</v>
      </c>
      <c r="B6" s="1">
        <v>5</v>
      </c>
    </row>
    <row r="7" spans="1:2" x14ac:dyDescent="0.25">
      <c r="A7" s="3" t="s">
        <v>50</v>
      </c>
      <c r="B7" s="1">
        <v>1</v>
      </c>
    </row>
    <row r="8" spans="1:2" x14ac:dyDescent="0.25">
      <c r="A8" s="3" t="s">
        <v>14</v>
      </c>
      <c r="B8" s="1">
        <v>6</v>
      </c>
    </row>
    <row r="9" spans="1:2" x14ac:dyDescent="0.25">
      <c r="A9" s="3" t="s">
        <v>47</v>
      </c>
      <c r="B9" s="1">
        <v>1</v>
      </c>
    </row>
    <row r="10" spans="1:2" x14ac:dyDescent="0.25">
      <c r="A10" s="3" t="s">
        <v>15</v>
      </c>
      <c r="B10" s="1">
        <v>4</v>
      </c>
    </row>
    <row r="11" spans="1:2" x14ac:dyDescent="0.25">
      <c r="A11" s="3" t="s">
        <v>21</v>
      </c>
      <c r="B11" s="1">
        <v>2</v>
      </c>
    </row>
    <row r="12" spans="1:2" x14ac:dyDescent="0.25">
      <c r="A12" s="3" t="s">
        <v>18</v>
      </c>
      <c r="B12" s="1">
        <v>3</v>
      </c>
    </row>
    <row r="13" spans="1:2" x14ac:dyDescent="0.25">
      <c r="A13" s="3" t="s">
        <v>24</v>
      </c>
      <c r="B13" s="1">
        <v>1</v>
      </c>
    </row>
    <row r="14" spans="1:2" x14ac:dyDescent="0.25">
      <c r="A14" s="3" t="s">
        <v>33</v>
      </c>
      <c r="B14" s="1">
        <v>3</v>
      </c>
    </row>
    <row r="15" spans="1:2" x14ac:dyDescent="0.25">
      <c r="A15" s="3" t="s">
        <v>9</v>
      </c>
      <c r="B15" s="1">
        <v>4</v>
      </c>
    </row>
    <row r="16" spans="1:2" x14ac:dyDescent="0.25">
      <c r="A16" s="3" t="s">
        <v>25</v>
      </c>
      <c r="B16" s="1">
        <v>7</v>
      </c>
    </row>
    <row r="17" spans="1:2" x14ac:dyDescent="0.25">
      <c r="A17" s="3" t="s">
        <v>53</v>
      </c>
      <c r="B17" s="1">
        <v>1</v>
      </c>
    </row>
    <row r="18" spans="1:2" x14ac:dyDescent="0.25">
      <c r="A18" s="3" t="s">
        <v>55</v>
      </c>
      <c r="B18" s="1">
        <v>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7E7C-A5DB-4C7D-BB94-2BD1374B4EE1}">
  <dimension ref="A1:B17"/>
  <sheetViews>
    <sheetView workbookViewId="0">
      <selection activeCell="A4" sqref="A4"/>
    </sheetView>
  </sheetViews>
  <sheetFormatPr defaultRowHeight="15" x14ac:dyDescent="0.25"/>
  <cols>
    <col min="1" max="1" width="14.28515625" bestFit="1" customWidth="1"/>
    <col min="2" max="2" width="23.140625" bestFit="1" customWidth="1"/>
    <col min="3" max="3" width="18" bestFit="1" customWidth="1"/>
  </cols>
  <sheetData>
    <row r="1" spans="1:2" x14ac:dyDescent="0.25">
      <c r="A1" s="2" t="s">
        <v>2</v>
      </c>
      <c r="B1" t="s">
        <v>56</v>
      </c>
    </row>
    <row r="3" spans="1:2" x14ac:dyDescent="0.25">
      <c r="A3" s="2" t="s">
        <v>54</v>
      </c>
      <c r="B3" t="s">
        <v>58</v>
      </c>
    </row>
    <row r="4" spans="1:2" x14ac:dyDescent="0.25">
      <c r="A4" s="3" t="s">
        <v>10</v>
      </c>
      <c r="B4" s="1">
        <v>6.6138888888888898</v>
      </c>
    </row>
    <row r="5" spans="1:2" x14ac:dyDescent="0.25">
      <c r="A5" s="3" t="s">
        <v>11</v>
      </c>
      <c r="B5" s="1">
        <v>7.8102</v>
      </c>
    </row>
    <row r="6" spans="1:2" x14ac:dyDescent="0.25">
      <c r="A6" s="3" t="s">
        <v>50</v>
      </c>
      <c r="B6" s="1">
        <v>8.3539999999999992</v>
      </c>
    </row>
    <row r="7" spans="1:2" x14ac:dyDescent="0.25">
      <c r="A7" s="3" t="s">
        <v>14</v>
      </c>
      <c r="B7" s="1">
        <v>7.6009999999999991</v>
      </c>
    </row>
    <row r="8" spans="1:2" x14ac:dyDescent="0.25">
      <c r="A8" s="3" t="s">
        <v>47</v>
      </c>
      <c r="B8" s="1">
        <v>7.2169999999999996</v>
      </c>
    </row>
    <row r="9" spans="1:2" x14ac:dyDescent="0.25">
      <c r="A9" s="3" t="s">
        <v>15</v>
      </c>
      <c r="B9" s="1">
        <v>7.5124999999999993</v>
      </c>
    </row>
    <row r="10" spans="1:2" x14ac:dyDescent="0.25">
      <c r="A10" s="3" t="s">
        <v>21</v>
      </c>
      <c r="B10" s="1">
        <v>7.6555</v>
      </c>
    </row>
    <row r="11" spans="1:2" x14ac:dyDescent="0.25">
      <c r="A11" s="3" t="s">
        <v>18</v>
      </c>
      <c r="B11" s="1">
        <v>7.7989999999999995</v>
      </c>
    </row>
    <row r="12" spans="1:2" x14ac:dyDescent="0.25">
      <c r="A12" s="3" t="s">
        <v>24</v>
      </c>
      <c r="B12" s="1">
        <v>6.8789999999999996</v>
      </c>
    </row>
    <row r="13" spans="1:2" x14ac:dyDescent="0.25">
      <c r="A13" s="3" t="s">
        <v>33</v>
      </c>
      <c r="B13" s="1">
        <v>6.5270000000000001</v>
      </c>
    </row>
    <row r="14" spans="1:2" x14ac:dyDescent="0.25">
      <c r="A14" s="3" t="s">
        <v>9</v>
      </c>
      <c r="B14" s="1">
        <v>7.7272499999999997</v>
      </c>
    </row>
    <row r="15" spans="1:2" x14ac:dyDescent="0.25">
      <c r="A15" s="3" t="s">
        <v>25</v>
      </c>
      <c r="B15" s="1">
        <v>5.9305714285714286</v>
      </c>
    </row>
    <row r="16" spans="1:2" x14ac:dyDescent="0.25">
      <c r="A16" s="3" t="s">
        <v>53</v>
      </c>
      <c r="B16" s="1">
        <v>6.8570000000000002</v>
      </c>
    </row>
    <row r="17" spans="1:2" x14ac:dyDescent="0.25">
      <c r="A17" s="3" t="s">
        <v>55</v>
      </c>
      <c r="B17" s="1">
        <v>7.1117234042553212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3891-419D-452D-B73B-97C4A65A6AAD}">
  <dimension ref="A1:B17"/>
  <sheetViews>
    <sheetView workbookViewId="0">
      <selection activeCell="B12" sqref="B12"/>
    </sheetView>
  </sheetViews>
  <sheetFormatPr defaultRowHeight="15" x14ac:dyDescent="0.25"/>
  <cols>
    <col min="1" max="1" width="14.28515625" bestFit="1" customWidth="1"/>
    <col min="2" max="2" width="20.28515625" bestFit="1" customWidth="1"/>
  </cols>
  <sheetData>
    <row r="1" spans="1:2" x14ac:dyDescent="0.25">
      <c r="A1" s="2" t="s">
        <v>2</v>
      </c>
      <c r="B1" t="s">
        <v>56</v>
      </c>
    </row>
    <row r="3" spans="1:2" x14ac:dyDescent="0.25">
      <c r="A3" s="2" t="s">
        <v>54</v>
      </c>
      <c r="B3" t="s">
        <v>59</v>
      </c>
    </row>
    <row r="4" spans="1:2" x14ac:dyDescent="0.25">
      <c r="A4" s="3" t="s">
        <v>10</v>
      </c>
      <c r="B4" s="1">
        <v>298.9596777777777</v>
      </c>
    </row>
    <row r="5" spans="1:2" x14ac:dyDescent="0.25">
      <c r="A5" s="3" t="s">
        <v>11</v>
      </c>
      <c r="B5" s="1">
        <v>403.17732000000001</v>
      </c>
    </row>
    <row r="6" spans="1:2" x14ac:dyDescent="0.25">
      <c r="A6" s="3" t="s">
        <v>50</v>
      </c>
      <c r="B6" s="1">
        <v>146.50640000000001</v>
      </c>
    </row>
    <row r="7" spans="1:2" x14ac:dyDescent="0.25">
      <c r="A7" s="3" t="s">
        <v>14</v>
      </c>
      <c r="B7" s="1">
        <v>233.2001333333333</v>
      </c>
    </row>
    <row r="8" spans="1:2" x14ac:dyDescent="0.25">
      <c r="A8" s="3" t="s">
        <v>47</v>
      </c>
      <c r="B8" s="1">
        <v>155.0121</v>
      </c>
    </row>
    <row r="9" spans="1:2" x14ac:dyDescent="0.25">
      <c r="A9" s="3" t="s">
        <v>15</v>
      </c>
      <c r="B9" s="1">
        <v>267.237075</v>
      </c>
    </row>
    <row r="10" spans="1:2" x14ac:dyDescent="0.25">
      <c r="A10" s="3" t="s">
        <v>21</v>
      </c>
      <c r="B10" s="1">
        <v>319.49285000000003</v>
      </c>
    </row>
    <row r="11" spans="1:2" x14ac:dyDescent="0.25">
      <c r="A11" s="3" t="s">
        <v>18</v>
      </c>
      <c r="B11" s="1">
        <v>240.63553333333334</v>
      </c>
    </row>
    <row r="12" spans="1:2" x14ac:dyDescent="0.25">
      <c r="A12" s="3" t="s">
        <v>24</v>
      </c>
      <c r="B12" s="1">
        <v>414.95330000000001</v>
      </c>
    </row>
    <row r="13" spans="1:2" x14ac:dyDescent="0.25">
      <c r="A13" s="3" t="s">
        <v>33</v>
      </c>
      <c r="B13" s="1">
        <v>182.32270000000003</v>
      </c>
    </row>
    <row r="14" spans="1:2" x14ac:dyDescent="0.25">
      <c r="A14" s="3" t="s">
        <v>9</v>
      </c>
      <c r="B14" s="1">
        <v>419.12027499999999</v>
      </c>
    </row>
    <row r="15" spans="1:2" x14ac:dyDescent="0.25">
      <c r="A15" s="3" t="s">
        <v>25</v>
      </c>
      <c r="B15" s="1">
        <v>245.8323285714286</v>
      </c>
    </row>
    <row r="16" spans="1:2" x14ac:dyDescent="0.25">
      <c r="A16" s="3" t="s">
        <v>53</v>
      </c>
      <c r="B16" s="1">
        <v>127.20229999999999</v>
      </c>
    </row>
    <row r="17" spans="1:2" x14ac:dyDescent="0.25">
      <c r="A17" s="3" t="s">
        <v>55</v>
      </c>
      <c r="B17" s="1">
        <v>283.47903617021279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676B-F040-4BF2-8E34-1BCBBED96F7B}">
  <dimension ref="A1:L13"/>
  <sheetViews>
    <sheetView workbookViewId="0">
      <selection activeCell="C17" sqref="C17"/>
    </sheetView>
  </sheetViews>
  <sheetFormatPr defaultRowHeight="15" x14ac:dyDescent="0.25"/>
  <cols>
    <col min="4" max="4" width="15.28515625" customWidth="1"/>
  </cols>
  <sheetData>
    <row r="1" spans="1:12" x14ac:dyDescent="0.25">
      <c r="A1" s="4" t="s">
        <v>60</v>
      </c>
    </row>
    <row r="2" spans="1:12" x14ac:dyDescent="0.25">
      <c r="L2" t="s">
        <v>64</v>
      </c>
    </row>
    <row r="3" spans="1:12" x14ac:dyDescent="0.25">
      <c r="A3" t="s">
        <v>61</v>
      </c>
    </row>
    <row r="5" spans="1:12" x14ac:dyDescent="0.25">
      <c r="A5" t="s">
        <v>62</v>
      </c>
    </row>
    <row r="7" spans="1:12" x14ac:dyDescent="0.25">
      <c r="A7" t="s">
        <v>63</v>
      </c>
      <c r="E7" t="s">
        <v>9</v>
      </c>
    </row>
    <row r="8" spans="1:12" x14ac:dyDescent="0.25">
      <c r="E8" t="s">
        <v>24</v>
      </c>
    </row>
    <row r="9" spans="1:12" x14ac:dyDescent="0.25">
      <c r="E9" t="s">
        <v>11</v>
      </c>
    </row>
    <row r="11" spans="1:12" x14ac:dyDescent="0.25">
      <c r="A11" t="s">
        <v>65</v>
      </c>
    </row>
    <row r="12" spans="1:12" x14ac:dyDescent="0.25">
      <c r="A12" t="s">
        <v>66</v>
      </c>
    </row>
    <row r="13" spans="1:12" x14ac:dyDescent="0.25">
      <c r="A1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7157D-20A1-46F7-A796-7FD057B12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tbmd_movies</vt:lpstr>
      <vt:lpstr>Count in Datasets</vt:lpstr>
      <vt:lpstr>Ratings</vt:lpstr>
      <vt:lpstr>Popularity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Brijmahal</dc:creator>
  <cp:lastModifiedBy>Andrew Brijmahal</cp:lastModifiedBy>
  <dcterms:created xsi:type="dcterms:W3CDTF">2026-09-20T18:02:10Z</dcterms:created>
  <dcterms:modified xsi:type="dcterms:W3CDTF">2026-09-20T19:41:47Z</dcterms:modified>
</cp:coreProperties>
</file>